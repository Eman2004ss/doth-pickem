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11086675\Downloads\DothPick\data\"/>
    </mc:Choice>
  </mc:AlternateContent>
  <xr:revisionPtr revIDLastSave="0" documentId="13_ncr:101_{20E14ACF-C634-470F-97D3-5D1952180280}" xr6:coauthVersionLast="47" xr6:coauthVersionMax="47" xr10:uidLastSave="{00000000-0000-0000-0000-000000000000}"/>
  <bookViews>
    <workbookView xWindow="15225" yWindow="-16365" windowWidth="29130" windowHeight="15810" xr2:uid="{3F1BD5E4-C2F8-41A6-A5F9-B3C57F944123}"/>
  </bookViews>
  <sheets>
    <sheet name="Master Plan - Football Season"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I103" i="1" l="1"/>
  <c r="I75" i="1"/>
  <c r="I67" i="1"/>
  <c r="I45" i="1"/>
  <c r="I37" i="1"/>
  <c r="I30" i="1"/>
  <c r="I22" i="1" a="1"/>
  <c r="I2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<sst xmlns="http://schemas.openxmlformats.org/spreadsheetml/2006/main" count="272" uniqueCount="90">
  <si>
    <t>Weekly Points</t>
  </si>
  <si>
    <t>Week #</t>
  </si>
  <si>
    <t>Football Active</t>
  </si>
  <si>
    <t>Point Breakdown</t>
  </si>
  <si>
    <t>Tier Ranking</t>
  </si>
  <si>
    <t>Game 1</t>
  </si>
  <si>
    <t>Game 2</t>
  </si>
  <si>
    <t>Game 3</t>
  </si>
  <si>
    <t>Game 4</t>
  </si>
  <si>
    <t>Game 5</t>
  </si>
  <si>
    <t>Weekly win bonus</t>
  </si>
  <si>
    <t xml:space="preserve">Tier </t>
  </si>
  <si>
    <t>Point Value</t>
  </si>
  <si>
    <t>CFB</t>
  </si>
  <si>
    <t>TBD</t>
  </si>
  <si>
    <t>S</t>
  </si>
  <si>
    <t>ONLY for when 2 top 5 teams play</t>
  </si>
  <si>
    <t>CFB + NFL</t>
  </si>
  <si>
    <t>A</t>
  </si>
  <si>
    <t>B</t>
  </si>
  <si>
    <t>C</t>
  </si>
  <si>
    <t>D</t>
  </si>
  <si>
    <t>E</t>
  </si>
  <si>
    <t>Each week will have 5 games, their point values will depend on the tier ranking of the game decided the week prior to the game.</t>
  </si>
  <si>
    <t>Rivalry Week</t>
  </si>
  <si>
    <t>NFL</t>
  </si>
  <si>
    <t>Total Possible Points</t>
  </si>
  <si>
    <t>This calculated total possible points will continue to increase throughout the season as we assign tiering of the games.</t>
  </si>
  <si>
    <t>Special Points</t>
  </si>
  <si>
    <r>
      <t xml:space="preserve">Red text = CFB               </t>
    </r>
    <r>
      <rPr>
        <b/>
        <sz val="11"/>
        <color rgb="FF00B0F0"/>
        <rFont val="Calibri"/>
        <family val="2"/>
        <scheme val="minor"/>
      </rPr>
      <t>Blue text = NFL</t>
    </r>
  </si>
  <si>
    <t>Game #</t>
  </si>
  <si>
    <t>Tie Breaker (Points Scored in Game 1)</t>
  </si>
  <si>
    <t>Points</t>
  </si>
  <si>
    <t>10*</t>
  </si>
  <si>
    <t xml:space="preserve">*The person with the most correct guesses wins a bonus of 10 points. If 2 players are tied with the same number of correct guesses, the person who guesses the more accurate total points score in Game 1 (almost always will be Ohio State vs Michigan) will receive a bonus of 7 points (compared to the possible 10 for an outright Rivalry Week win) and the less accurate guesser will receive a bonus of 3 points. </t>
  </si>
  <si>
    <t>Conference Championships</t>
  </si>
  <si>
    <t xml:space="preserve">There will be 3 polls for Conference Champions occuring prior to Week 0, prior to Week 10, and after the teams in the Conference Championship have been selected. You cannot choose the a team more than once for their guesses. So each person must choose a different team for their preseason, midseason, and postseason guesses. </t>
  </si>
  <si>
    <t>Conference</t>
  </si>
  <si>
    <t>Big10</t>
  </si>
  <si>
    <t>SEC</t>
  </si>
  <si>
    <t>ACC</t>
  </si>
  <si>
    <t>Big12</t>
  </si>
  <si>
    <t>Preseason Guess Points</t>
  </si>
  <si>
    <t>Midseason Guess Points</t>
  </si>
  <si>
    <t>Postseason Guess Points</t>
  </si>
  <si>
    <t xml:space="preserve">The person that accumulates the most points from their 3 guesses will be awarded a bonus of 10 points. </t>
  </si>
  <si>
    <t>CFP</t>
  </si>
  <si>
    <t>Playoff Points</t>
  </si>
  <si>
    <t>Round</t>
  </si>
  <si>
    <t>Games</t>
  </si>
  <si>
    <t>First Round</t>
  </si>
  <si>
    <t>Quarterfinals</t>
  </si>
  <si>
    <t>Semifinals</t>
  </si>
  <si>
    <t xml:space="preserve">Game 1 </t>
  </si>
  <si>
    <t>Champion</t>
  </si>
  <si>
    <t xml:space="preserve">The person that accumulates the most points during the playoffs will be awarded a bonus of 15 points. </t>
  </si>
  <si>
    <t>Preseason Champion Points</t>
  </si>
  <si>
    <t xml:space="preserve">Each person will choose 3 teams prior to Week 0 that they belive can win the CFP. They will rank them 1-3 in how confident they will win the CFP, with 1 being the most confident. Each team can earn each person points depending on how far they make it in the playoffs and how they rated their confidence in them. The point breakdown is below. </t>
  </si>
  <si>
    <t>Team Ranking</t>
  </si>
  <si>
    <t>Stage Eliminated In</t>
  </si>
  <si>
    <t>Points Awarded</t>
  </si>
  <si>
    <t xml:space="preserve">For preseason pics, a first round bye will count the same as a win in the First Round (so if they lose in the Quarterfinals they will be treated the same as a team without a bye that won Round 1). </t>
  </si>
  <si>
    <t>Team  1</t>
  </si>
  <si>
    <t>Did not qualify for playoffs</t>
  </si>
  <si>
    <t>Round 1</t>
  </si>
  <si>
    <t>Championship</t>
  </si>
  <si>
    <t>CHAMPION</t>
  </si>
  <si>
    <t>Team 2</t>
  </si>
  <si>
    <t>Team 3</t>
  </si>
  <si>
    <t>NFL Playoffs</t>
  </si>
  <si>
    <t>Elimination Round</t>
  </si>
  <si>
    <t>Game</t>
  </si>
  <si>
    <t>Point Value Per Correct Guess</t>
  </si>
  <si>
    <t>Wild Card</t>
  </si>
  <si>
    <t>Game 6</t>
  </si>
  <si>
    <t>Divisional</t>
  </si>
  <si>
    <t>AFC Champ</t>
  </si>
  <si>
    <t>NFC Champ</t>
  </si>
  <si>
    <t>Super Bowl</t>
  </si>
  <si>
    <t>SUPER BOWL</t>
  </si>
  <si>
    <t xml:space="preserve">The person that accumulates the most points over the course of the playoffs will earn a 10 point bonus. </t>
  </si>
  <si>
    <t xml:space="preserve">Each person will choose 2 AFC and 2 NFC teams prior to Week 1 of the NFL season that they believe can win the Super Bowl. They will rank them 1-4, with no stipulation on conference for their rankings (so your 1 and 2 ranked teams can both be AFC if you want, but it would be more adventageous to one AFC and one NFC). The point breakdown of the stage of their elimination is outlined below. </t>
  </si>
  <si>
    <t xml:space="preserve">For preseason pics, a first round bye will count the same as a win in the Wild Card Round (so if they lose in the Divisional Round they will receive 8 points just as a team that won their Wild Card Game would). </t>
  </si>
  <si>
    <t>Team 1</t>
  </si>
  <si>
    <t>Wild Card Round</t>
  </si>
  <si>
    <t>Divisional Round</t>
  </si>
  <si>
    <t>Conference Championship</t>
  </si>
  <si>
    <t>Team 4</t>
  </si>
  <si>
    <t>Preseason Conference Champion</t>
  </si>
  <si>
    <t xml:space="preserve">Prior to Week 1 of the NFL season, each person will choose a team that they believe will win their division. Each correct guess will earn the person 4 points.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</si>
</sst>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0"/>
      <name val="Calibri"/>
      <family val="2"/>
      <scheme val="minor"/>
    </font>
    <font>
      <b/>
      <sz val="11"/>
      <color theme="1"/>
      <name val="Calibri"/>
      <family val="2"/>
      <scheme val="minor"/>
    </font>
    <font>
      <b/>
      <sz val="11"/>
      <color rgb="FFFF0000"/>
      <name val="Calibri"/>
      <family val="2"/>
      <scheme val="minor"/>
    </font>
    <font>
      <b/>
      <sz val="11"/>
      <color rgb="FF00B0F0"/>
      <name val="Calibri"/>
      <family val="2"/>
      <scheme val="minor"/>
    </font>
  </fonts>
  <fills count="5">
    <fill>
      <patternFill patternType="none"/>
    </fill>
    <fill>
      <patternFill patternType="gray125"/>
    </fill>
    <fill>
      <patternFill patternType="solid">
        <fgColor theme="1"/>
        <bgColor indexed="64"/>
      </patternFill>
    </fill>
    <fill>
      <patternFill patternType="solid">
        <fgColor theme="2" tint="-9.9978637043366805E-2"/>
        <bgColor indexed="64"/>
      </patternFill>
    </fill>
    <fill>
      <patternFill patternType="solid">
        <fgColor theme="6" tint="0.79998168889431442"/>
        <bgColor indexed="64"/>
      </patternFill>
    </fill>
  </fills>
  <borders count="1">
    <border>
      <left/>
      <right/>
      <top/>
      <bottom/>
      <diagonal/>
    </border>
  </borders>
  <cellStyleXfs count="1">
    <xf numFmtId="0" fontId="0" fillId="0" borderId="0"/>
  </cellStyleXfs>
  <cellXfs count="17">
    <xf numFmtId="0" fontId="0" fillId="0" borderId="0" xfId="0"/>
    <xf numFmtId="0" fontId="0" fillId="0" borderId="0" xfId="0" applyAlignment="1">
      <alignment horizontal="center" vertical="center"/>
    </xf>
    <xf numFmtId="0" fontId="2" fillId="0" borderId="0" xfId="0" applyFont="1" applyAlignment="1">
      <alignment horizontal="center" vertical="center"/>
    </xf>
    <xf numFmtId="0" fontId="0" fillId="0" borderId="0" xfId="0" applyAlignment="1">
      <alignment vertical="center" wrapText="1"/>
    </xf>
    <xf numFmtId="0" fontId="0" fillId="0" borderId="0" xfId="0" applyAlignment="1">
      <alignment horizontal="center" vertical="center" wrapText="1"/>
    </xf>
    <xf numFmtId="0" fontId="0" fillId="0" borderId="0" xfId="0" applyAlignment="1">
      <alignment vertical="center"/>
    </xf>
    <xf numFmtId="0" fontId="1" fillId="2" borderId="0" xfId="0" applyFont="1" applyFill="1" applyAlignment="1">
      <alignment horizontal="center" vertical="center" wrapText="1"/>
    </xf>
    <xf numFmtId="0" fontId="2" fillId="0" borderId="0" xfId="0" applyFont="1" applyAlignment="1">
      <alignment horizontal="center" vertical="center" wrapText="1"/>
    </xf>
    <xf numFmtId="0" fontId="0" fillId="2" borderId="0" xfId="0" applyFill="1" applyAlignment="1">
      <alignment horizontal="center" vertical="center"/>
    </xf>
    <xf numFmtId="0" fontId="0" fillId="0" borderId="0" xfId="0" applyAlignment="1">
      <alignment horizontal="center" vertical="center"/>
    </xf>
    <xf numFmtId="0" fontId="4" fillId="2" borderId="0" xfId="0" applyFont="1" applyFill="1" applyAlignment="1">
      <alignment horizontal="center" vertical="center"/>
    </xf>
    <xf numFmtId="0" fontId="2" fillId="0" borderId="0" xfId="0" applyFont="1" applyAlignment="1">
      <alignment horizontal="center" vertical="center"/>
    </xf>
    <xf numFmtId="0" fontId="2" fillId="4" borderId="0" xfId="0" applyFont="1" applyFill="1" applyAlignment="1">
      <alignment horizontal="center" vertical="center"/>
    </xf>
    <xf numFmtId="0" fontId="0" fillId="0" borderId="0" xfId="0" applyAlignment="1">
      <alignment horizontal="center" vertical="center" wrapText="1"/>
    </xf>
    <xf numFmtId="0" fontId="2" fillId="3" borderId="0" xfId="0" applyFont="1" applyFill="1" applyAlignment="1">
      <alignment horizontal="center" vertical="center"/>
    </xf>
    <xf numFmtId="0" fontId="3" fillId="2" borderId="0" xfId="0" applyFont="1" applyFill="1" applyAlignment="1">
      <alignment horizontal="center" vertical="center"/>
    </xf>
    <xf numFmtId="0" fontId="1" fillId="2" borderId="0"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BA1A-3F9E-4301-B6B0-F541477E741C}">
  <dimension ref="A1:K136"/>
  <sheetViews>
    <sheetView tabSelected="1" zoomScaleNormal="100" workbookViewId="0">
      <selection activeCell="H119" sqref="H119"/>
    </sheetView>
  </sheetViews>
  <sheetFormatPr defaultColWidth="8.7265625" defaultRowHeight="14.5" x14ac:dyDescent="0.35"/>
  <cols>
    <col min="1" max="1" width="21.81640625" style="1" customWidth="1"/>
    <col min="2" max="2" width="18.54296875" style="1" customWidth="1"/>
    <col min="3" max="3" width="11.54296875" style="1" customWidth="1"/>
    <col min="4" max="4" width="10.453125" style="1" customWidth="1"/>
    <col min="5" max="5" width="11.1796875" style="1" customWidth="1"/>
    <col min="6" max="6" width="13.1796875" style="1" customWidth="1"/>
    <col min="7" max="7" width="16.1796875" style="1" customWidth="1"/>
    <col min="8" max="8" width="26.7265625" style="1" customWidth="1"/>
    <col min="9" max="9" width="8.7265625" style="1"/>
    <col min="10" max="10" width="12" style="1" customWidth="1"/>
    <col min="11" max="11" width="29.7265625" style="1" bestFit="1" customWidth="1"/>
    <col min="12" max="16384" width="8.7265625" style="1"/>
  </cols>
  <sheetData>
    <row r="1" spans="1:11" ht="19" customHeight="1" x14ac:dyDescent="0.35">
      <c r="A1" s="16" t="s">
        <v>0</v>
      </c>
      <c r="B1" s="16"/>
      <c r="C1" s="16"/>
      <c r="D1" s="16"/>
      <c r="E1" s="16"/>
      <c r="F1" s="16"/>
      <c r="G1" s="16"/>
      <c r="H1" s="16"/>
      <c r="I1" s="16"/>
      <c r="J1" s="16"/>
      <c r="K1" s="16"/>
    </row>
    <row r="2" spans="1:11" x14ac:dyDescent="0.35">
      <c r="A2" s="11" t="s">
        <v>1</v>
      </c>
      <c r="B2" s="11" t="s">
        <v>2</v>
      </c>
      <c r="C2" s="11" t="s">
        <v>3</v>
      </c>
      <c r="D2" s="11"/>
      <c r="E2" s="11"/>
      <c r="F2" s="11"/>
      <c r="G2" s="11"/>
      <c r="H2" s="11"/>
      <c r="I2" s="11" t="s">
        <v>4</v>
      </c>
      <c r="J2" s="11"/>
      <c r="K2" s="11"/>
    </row>
    <row r="3" spans="1:11" x14ac:dyDescent="0.35">
      <c r="A3" s="11"/>
      <c r="B3" s="11"/>
      <c r="C3" s="2" t="s">
        <v>5</v>
      </c>
      <c r="D3" s="2" t="s">
        <v>6</v>
      </c>
      <c r="E3" s="2" t="s">
        <v>7</v>
      </c>
      <c r="F3" s="2" t="s">
        <v>8</v>
      </c>
      <c r="G3" s="2" t="s">
        <v>9</v>
      </c>
      <c r="H3" s="2" t="s">
        <v>10</v>
      </c>
      <c r="I3" s="2" t="s">
        <v>11</v>
      </c>
      <c r="J3" s="2" t="s">
        <v>12</v>
      </c>
      <c r="K3" s="2"/>
    </row>
    <row r="4" spans="1:11" ht="14.5" customHeight="1" x14ac:dyDescent="0.35">
      <c r="A4" s="2">
        <v>0</v>
      </c>
      <c r="B4" s="1" t="s">
        <v>13</v>
      </c>
      <c r="C4" s="3" t="s">
        <v>14</v>
      </c>
      <c r="D4" s="3" t="s">
        <v>14</v>
      </c>
      <c r="E4" s="3" t="s">
        <v>14</v>
      </c>
      <c r="F4" s="3" t="s">
        <v>14</v>
      </c>
      <c r="G4" s="3" t="s">
        <v>14</v>
      </c>
      <c r="H4" s="1">
        <v>5</v>
      </c>
      <c r="I4" s="1" t="s">
        <v>15</v>
      </c>
      <c r="J4" s="1">
        <v>6</v>
      </c>
      <c r="K4" s="2" t="s">
        <v>16</v>
      </c>
    </row>
    <row r="5" spans="1:11" x14ac:dyDescent="0.35">
      <c r="A5" s="2">
        <v>1</v>
      </c>
      <c r="B5" s="1" t="s">
        <v>17</v>
      </c>
      <c r="C5" s="3" t="s">
        <v>14</v>
      </c>
      <c r="D5" s="3" t="s">
        <v>14</v>
      </c>
      <c r="E5" s="3" t="s">
        <v>14</v>
      </c>
      <c r="F5" s="3" t="s">
        <v>14</v>
      </c>
      <c r="G5" s="3" t="s">
        <v>14</v>
      </c>
      <c r="H5" s="1">
        <v>5</v>
      </c>
      <c r="I5" s="1" t="s">
        <v>18</v>
      </c>
      <c r="J5" s="1">
        <v>5</v>
      </c>
    </row>
    <row r="6" spans="1:11" x14ac:dyDescent="0.35">
      <c r="A6" s="2">
        <v>2</v>
      </c>
      <c r="B6" s="1" t="s">
        <v>17</v>
      </c>
      <c r="C6" s="3" t="s">
        <v>14</v>
      </c>
      <c r="D6" s="3" t="s">
        <v>14</v>
      </c>
      <c r="E6" s="3" t="s">
        <v>14</v>
      </c>
      <c r="F6" s="3" t="s">
        <v>14</v>
      </c>
      <c r="G6" s="3" t="s">
        <v>14</v>
      </c>
      <c r="H6" s="1">
        <v>5</v>
      </c>
      <c r="I6" s="1" t="s">
        <v>19</v>
      </c>
      <c r="J6" s="1">
        <v>4</v>
      </c>
    </row>
    <row r="7" spans="1:11" x14ac:dyDescent="0.35">
      <c r="A7" s="2">
        <v>3</v>
      </c>
      <c r="B7" s="1" t="s">
        <v>17</v>
      </c>
      <c r="C7" s="3" t="s">
        <v>14</v>
      </c>
      <c r="D7" s="3" t="s">
        <v>14</v>
      </c>
      <c r="E7" s="3" t="s">
        <v>14</v>
      </c>
      <c r="F7" s="3" t="s">
        <v>14</v>
      </c>
      <c r="G7" s="3" t="s">
        <v>14</v>
      </c>
      <c r="H7" s="1">
        <v>5</v>
      </c>
      <c r="I7" s="1" t="s">
        <v>20</v>
      </c>
      <c r="J7" s="1">
        <v>3</v>
      </c>
    </row>
    <row r="8" spans="1:11" x14ac:dyDescent="0.35">
      <c r="A8" s="2">
        <v>4</v>
      </c>
      <c r="B8" s="1" t="s">
        <v>17</v>
      </c>
      <c r="C8" s="3" t="s">
        <v>14</v>
      </c>
      <c r="D8" s="3" t="s">
        <v>14</v>
      </c>
      <c r="E8" s="3" t="s">
        <v>14</v>
      </c>
      <c r="F8" s="3" t="s">
        <v>14</v>
      </c>
      <c r="G8" s="3" t="s">
        <v>14</v>
      </c>
      <c r="H8" s="1">
        <v>5</v>
      </c>
      <c r="I8" s="1" t="s">
        <v>21</v>
      </c>
      <c r="J8" s="1">
        <v>2</v>
      </c>
    </row>
    <row r="9" spans="1:11" x14ac:dyDescent="0.35">
      <c r="A9" s="2">
        <v>5</v>
      </c>
      <c r="B9" s="1" t="s">
        <v>17</v>
      </c>
      <c r="C9" s="3" t="s">
        <v>14</v>
      </c>
      <c r="D9" s="3" t="s">
        <v>14</v>
      </c>
      <c r="E9" s="3" t="s">
        <v>14</v>
      </c>
      <c r="F9" s="3" t="s">
        <v>14</v>
      </c>
      <c r="G9" s="3" t="s">
        <v>14</v>
      </c>
      <c r="H9" s="1">
        <v>5</v>
      </c>
      <c r="I9" s="1" t="s">
        <v>22</v>
      </c>
      <c r="J9" s="1">
        <v>1</v>
      </c>
    </row>
    <row r="10" spans="1:11" ht="14.5" customHeight="1" x14ac:dyDescent="0.35">
      <c r="A10" s="2">
        <v>6</v>
      </c>
      <c r="B10" s="1" t="s">
        <v>17</v>
      </c>
      <c r="C10" s="3" t="s">
        <v>14</v>
      </c>
      <c r="D10" s="3" t="s">
        <v>14</v>
      </c>
      <c r="E10" s="3" t="s">
        <v>14</v>
      </c>
      <c r="F10" s="3" t="s">
        <v>14</v>
      </c>
      <c r="G10" s="3" t="s">
        <v>14</v>
      </c>
      <c r="H10" s="1">
        <v>5</v>
      </c>
      <c r="I10" s="4" t="s">
        <v>14</v>
      </c>
      <c r="J10" s="4">
        <v>0</v>
      </c>
      <c r="K10" s="3"/>
    </row>
    <row r="11" spans="1:11" x14ac:dyDescent="0.35">
      <c r="A11" s="2">
        <v>7</v>
      </c>
      <c r="B11" s="1" t="s">
        <v>17</v>
      </c>
      <c r="C11" s="3" t="s">
        <v>14</v>
      </c>
      <c r="D11" s="3" t="s">
        <v>14</v>
      </c>
      <c r="E11" s="3" t="s">
        <v>14</v>
      </c>
      <c r="F11" s="3" t="s">
        <v>14</v>
      </c>
      <c r="G11" s="3" t="s">
        <v>14</v>
      </c>
      <c r="H11" s="1">
        <v>5</v>
      </c>
      <c r="I11" s="13" t="s">
        <v>23</v>
      </c>
      <c r="J11" s="13"/>
      <c r="K11" s="13"/>
    </row>
    <row r="12" spans="1:11" x14ac:dyDescent="0.35">
      <c r="A12" s="2">
        <v>8</v>
      </c>
      <c r="B12" s="1" t="s">
        <v>17</v>
      </c>
      <c r="C12" s="3" t="s">
        <v>14</v>
      </c>
      <c r="D12" s="3" t="s">
        <v>14</v>
      </c>
      <c r="E12" s="3" t="s">
        <v>14</v>
      </c>
      <c r="F12" s="3" t="s">
        <v>14</v>
      </c>
      <c r="G12" s="3" t="s">
        <v>14</v>
      </c>
      <c r="H12" s="1">
        <v>5</v>
      </c>
      <c r="I12" s="13"/>
      <c r="J12" s="13"/>
      <c r="K12" s="13"/>
    </row>
    <row r="13" spans="1:11" x14ac:dyDescent="0.35">
      <c r="A13" s="2">
        <v>9</v>
      </c>
      <c r="B13" s="1" t="s">
        <v>17</v>
      </c>
      <c r="C13" s="3" t="s">
        <v>14</v>
      </c>
      <c r="D13" s="3" t="s">
        <v>14</v>
      </c>
      <c r="E13" s="3" t="s">
        <v>14</v>
      </c>
      <c r="F13" s="3" t="s">
        <v>14</v>
      </c>
      <c r="G13" s="3" t="s">
        <v>14</v>
      </c>
      <c r="H13" s="1">
        <v>5</v>
      </c>
      <c r="I13" s="13"/>
      <c r="J13" s="13"/>
      <c r="K13" s="13"/>
    </row>
    <row r="14" spans="1:11" x14ac:dyDescent="0.35">
      <c r="A14" s="2">
        <v>10</v>
      </c>
      <c r="B14" s="1" t="s">
        <v>17</v>
      </c>
      <c r="C14" s="3" t="s">
        <v>14</v>
      </c>
      <c r="D14" s="3" t="s">
        <v>14</v>
      </c>
      <c r="E14" s="3" t="s">
        <v>14</v>
      </c>
      <c r="F14" s="3" t="s">
        <v>14</v>
      </c>
      <c r="G14" s="3" t="s">
        <v>14</v>
      </c>
      <c r="H14" s="1">
        <v>5</v>
      </c>
      <c r="I14" s="13"/>
      <c r="J14" s="13"/>
      <c r="K14" s="13"/>
    </row>
    <row r="15" spans="1:11" x14ac:dyDescent="0.35">
      <c r="A15" s="2">
        <v>11</v>
      </c>
      <c r="B15" s="1" t="s">
        <v>17</v>
      </c>
      <c r="C15" s="3" t="s">
        <v>14</v>
      </c>
      <c r="D15" s="3" t="s">
        <v>14</v>
      </c>
      <c r="E15" s="3" t="s">
        <v>14</v>
      </c>
      <c r="F15" s="3" t="s">
        <v>14</v>
      </c>
      <c r="G15" s="3" t="s">
        <v>14</v>
      </c>
      <c r="H15" s="1">
        <v>5</v>
      </c>
      <c r="I15" s="13"/>
      <c r="J15" s="13"/>
      <c r="K15" s="13"/>
    </row>
    <row r="16" spans="1:11" x14ac:dyDescent="0.35">
      <c r="A16" s="2">
        <v>12</v>
      </c>
      <c r="B16" s="1" t="s">
        <v>17</v>
      </c>
      <c r="C16" s="3" t="s">
        <v>14</v>
      </c>
      <c r="D16" s="3" t="s">
        <v>14</v>
      </c>
      <c r="E16" s="3" t="s">
        <v>14</v>
      </c>
      <c r="F16" s="3" t="s">
        <v>14</v>
      </c>
      <c r="G16" s="3" t="s">
        <v>14</v>
      </c>
      <c r="H16" s="1">
        <v>5</v>
      </c>
      <c r="I16" s="13"/>
      <c r="J16" s="13"/>
      <c r="K16" s="13"/>
    </row>
    <row r="17" spans="1:11" x14ac:dyDescent="0.35">
      <c r="A17" s="2">
        <v>13</v>
      </c>
      <c r="B17" s="1" t="s">
        <v>17</v>
      </c>
      <c r="C17" s="3" t="s">
        <v>14</v>
      </c>
      <c r="D17" s="3" t="s">
        <v>14</v>
      </c>
      <c r="E17" s="3" t="s">
        <v>14</v>
      </c>
      <c r="F17" s="3" t="s">
        <v>14</v>
      </c>
      <c r="G17" s="3" t="s">
        <v>14</v>
      </c>
      <c r="H17" s="1">
        <v>5</v>
      </c>
      <c r="I17" s="13"/>
      <c r="J17" s="13"/>
      <c r="K17" s="13"/>
    </row>
    <row r="18" spans="1:11" ht="21" customHeight="1" x14ac:dyDescent="0.35">
      <c r="A18" s="15" t="s">
        <v>24</v>
      </c>
      <c r="B18" s="15"/>
      <c r="C18" s="15"/>
      <c r="D18" s="15"/>
      <c r="E18" s="15"/>
      <c r="F18" s="15"/>
      <c r="G18" s="15"/>
      <c r="H18" s="15"/>
      <c r="I18" s="15"/>
      <c r="J18" s="15"/>
      <c r="K18" s="15"/>
    </row>
    <row r="19" spans="1:11" x14ac:dyDescent="0.35">
      <c r="A19" s="2">
        <v>15</v>
      </c>
      <c r="B19" s="1" t="s">
        <v>25</v>
      </c>
      <c r="C19" s="5" t="s">
        <v>14</v>
      </c>
      <c r="D19" s="5" t="s">
        <v>14</v>
      </c>
      <c r="E19" s="5" t="s">
        <v>14</v>
      </c>
      <c r="F19" s="5" t="s">
        <v>14</v>
      </c>
      <c r="G19" s="5" t="s">
        <v>14</v>
      </c>
      <c r="H19" s="1">
        <v>5</v>
      </c>
    </row>
    <row r="20" spans="1:11" x14ac:dyDescent="0.35">
      <c r="A20" s="2">
        <v>16</v>
      </c>
      <c r="B20" s="1" t="s">
        <v>25</v>
      </c>
      <c r="C20" s="5" t="s">
        <v>14</v>
      </c>
      <c r="D20" s="5" t="s">
        <v>14</v>
      </c>
      <c r="E20" s="5" t="s">
        <v>14</v>
      </c>
      <c r="F20" s="5" t="s">
        <v>14</v>
      </c>
      <c r="G20" s="5" t="s">
        <v>14</v>
      </c>
      <c r="H20" s="1">
        <v>5</v>
      </c>
    </row>
    <row r="21" spans="1:11" ht="43.5" x14ac:dyDescent="0.35">
      <c r="A21" s="2">
        <v>17</v>
      </c>
      <c r="B21" s="1" t="s">
        <v>25</v>
      </c>
      <c r="C21" s="5" t="s">
        <v>14</v>
      </c>
      <c r="D21" s="5" t="s">
        <v>14</v>
      </c>
      <c r="E21" s="5" t="s">
        <v>14</v>
      </c>
      <c r="F21" s="5" t="s">
        <v>14</v>
      </c>
      <c r="G21" s="5" t="s">
        <v>14</v>
      </c>
      <c r="H21" s="1">
        <v>5</v>
      </c>
      <c r="I21" s="6" t="s">
        <v>26</v>
      </c>
      <c r="J21" s="13" t="s">
        <v>27</v>
      </c>
      <c r="K21" s="13"/>
    </row>
    <row r="22" spans="1:11" x14ac:dyDescent="0.35">
      <c r="A22" s="2">
        <v>18</v>
      </c>
      <c r="B22" s="1" t="s">
        <v>25</v>
      </c>
      <c r="C22" s="5" t="s">
        <v>14</v>
      </c>
      <c r="D22" s="5" t="s">
        <v>14</v>
      </c>
      <c r="E22" s="5" t="s">
        <v>14</v>
      </c>
      <c r="F22" s="5" t="s">
        <v>14</v>
      </c>
      <c r="G22" s="5" t="s">
        <v>14</v>
      </c>
      <c r="H22" s="1">
        <v>5</v>
      </c>
      <c r="I22" s="1" cm="1">
        <f t="array" ref="I22">SUMPRODUCT(_xlfn.XLOOKUP(C4:G22,$I$4:$I$10,$J$4:$J$10,0))+SUM(H4:H22)</f>
        <v>90</v>
      </c>
      <c r="J22" s="13"/>
      <c r="K22" s="13"/>
    </row>
    <row r="23" spans="1:11" ht="20.5" customHeight="1" x14ac:dyDescent="0.35">
      <c r="A23" s="16" t="s">
        <v>28</v>
      </c>
      <c r="B23" s="16"/>
      <c r="C23" s="16"/>
      <c r="D23" s="16"/>
      <c r="E23" s="16"/>
      <c r="F23" s="16"/>
      <c r="G23" s="16"/>
      <c r="H23" s="16"/>
      <c r="I23" s="16"/>
    </row>
    <row r="24" spans="1:11" x14ac:dyDescent="0.35">
      <c r="A24" s="15" t="s">
        <v>29</v>
      </c>
      <c r="B24" s="15"/>
      <c r="C24" s="15"/>
      <c r="D24" s="15"/>
      <c r="E24" s="15"/>
      <c r="F24" s="15"/>
      <c r="G24" s="15"/>
      <c r="H24" s="15"/>
      <c r="I24" s="15"/>
    </row>
    <row r="25" spans="1:11" ht="19.5" customHeight="1" x14ac:dyDescent="0.35">
      <c r="A25" s="15" t="s">
        <v>24</v>
      </c>
      <c r="B25" s="15"/>
      <c r="C25" s="15"/>
      <c r="D25" s="15"/>
      <c r="E25" s="15"/>
      <c r="F25" s="15"/>
      <c r="G25" s="15"/>
      <c r="H25" s="15"/>
      <c r="I25" s="15"/>
    </row>
    <row r="26" spans="1:11" ht="29" x14ac:dyDescent="0.35">
      <c r="A26" s="2" t="s">
        <v>30</v>
      </c>
      <c r="B26" s="2" t="s">
        <v>5</v>
      </c>
      <c r="C26" s="2" t="s">
        <v>6</v>
      </c>
      <c r="D26" s="2" t="s">
        <v>7</v>
      </c>
      <c r="E26" s="2" t="s">
        <v>8</v>
      </c>
      <c r="F26" s="2" t="s">
        <v>9</v>
      </c>
      <c r="G26" s="2" t="s">
        <v>10</v>
      </c>
      <c r="H26" s="7" t="s">
        <v>31</v>
      </c>
    </row>
    <row r="27" spans="1:11" x14ac:dyDescent="0.35">
      <c r="A27" s="2" t="s">
        <v>32</v>
      </c>
      <c r="B27" s="1">
        <v>3</v>
      </c>
      <c r="C27" s="1">
        <v>3</v>
      </c>
      <c r="D27" s="1">
        <v>3</v>
      </c>
      <c r="E27" s="1">
        <v>3</v>
      </c>
      <c r="F27" s="1">
        <v>3</v>
      </c>
      <c r="G27" s="1" t="s">
        <v>33</v>
      </c>
      <c r="H27" s="8"/>
    </row>
    <row r="28" spans="1:11" ht="14.5" customHeight="1" x14ac:dyDescent="0.35">
      <c r="A28" s="13" t="s">
        <v>34</v>
      </c>
      <c r="B28" s="13"/>
      <c r="C28" s="13"/>
      <c r="D28" s="13"/>
      <c r="E28" s="13"/>
      <c r="F28" s="13"/>
      <c r="G28" s="13"/>
      <c r="H28" s="13"/>
    </row>
    <row r="29" spans="1:11" ht="43.5" x14ac:dyDescent="0.35">
      <c r="A29" s="13"/>
      <c r="B29" s="13"/>
      <c r="C29" s="13"/>
      <c r="D29" s="13"/>
      <c r="E29" s="13"/>
      <c r="F29" s="13"/>
      <c r="G29" s="13"/>
      <c r="H29" s="13"/>
      <c r="I29" s="6" t="s">
        <v>26</v>
      </c>
    </row>
    <row r="30" spans="1:11" x14ac:dyDescent="0.35">
      <c r="A30" s="13"/>
      <c r="B30" s="13"/>
      <c r="C30" s="13"/>
      <c r="D30" s="13"/>
      <c r="E30" s="13"/>
      <c r="F30" s="13"/>
      <c r="G30" s="13"/>
      <c r="H30" s="13"/>
      <c r="I30" s="1">
        <f>SUM(B27:F27)+10</f>
        <v>25</v>
      </c>
    </row>
    <row r="31" spans="1:11" ht="22" customHeight="1" x14ac:dyDescent="0.35">
      <c r="A31" s="15" t="s">
        <v>35</v>
      </c>
      <c r="B31" s="15"/>
      <c r="C31" s="15"/>
      <c r="D31" s="15"/>
      <c r="E31" s="15"/>
      <c r="F31" s="15"/>
      <c r="G31" s="15"/>
      <c r="H31" s="15"/>
      <c r="I31" s="15"/>
    </row>
    <row r="32" spans="1:11" ht="66" customHeight="1" x14ac:dyDescent="0.35">
      <c r="A32" s="13" t="s">
        <v>36</v>
      </c>
      <c r="B32" s="13"/>
      <c r="C32" s="13"/>
      <c r="D32" s="13"/>
      <c r="E32" s="13"/>
      <c r="F32" s="13"/>
      <c r="G32" s="13"/>
      <c r="H32" s="13"/>
    </row>
    <row r="33" spans="1:9" x14ac:dyDescent="0.35">
      <c r="A33" s="2" t="s">
        <v>37</v>
      </c>
      <c r="B33" s="2" t="s">
        <v>38</v>
      </c>
      <c r="C33" s="11" t="s">
        <v>39</v>
      </c>
      <c r="D33" s="11"/>
      <c r="E33" s="11" t="s">
        <v>40</v>
      </c>
      <c r="F33" s="11"/>
      <c r="G33" s="11" t="s">
        <v>41</v>
      </c>
      <c r="H33" s="11"/>
    </row>
    <row r="34" spans="1:9" x14ac:dyDescent="0.35">
      <c r="A34" s="2" t="s">
        <v>42</v>
      </c>
      <c r="B34" s="1">
        <v>9</v>
      </c>
      <c r="C34" s="9">
        <v>9</v>
      </c>
      <c r="D34" s="9"/>
      <c r="E34" s="9">
        <v>7</v>
      </c>
      <c r="F34" s="9"/>
      <c r="G34" s="9">
        <v>7</v>
      </c>
      <c r="H34" s="9"/>
    </row>
    <row r="35" spans="1:9" x14ac:dyDescent="0.35">
      <c r="A35" s="2" t="s">
        <v>43</v>
      </c>
      <c r="B35" s="1">
        <v>7</v>
      </c>
      <c r="C35" s="9">
        <v>7</v>
      </c>
      <c r="D35" s="9"/>
      <c r="E35" s="9">
        <v>5</v>
      </c>
      <c r="F35" s="9"/>
      <c r="G35" s="9">
        <v>5</v>
      </c>
      <c r="H35" s="9"/>
    </row>
    <row r="36" spans="1:9" ht="43.5" x14ac:dyDescent="0.35">
      <c r="A36" s="2" t="s">
        <v>44</v>
      </c>
      <c r="B36" s="1">
        <v>5</v>
      </c>
      <c r="C36" s="9">
        <v>5</v>
      </c>
      <c r="D36" s="9"/>
      <c r="E36" s="9">
        <v>4</v>
      </c>
      <c r="F36" s="9"/>
      <c r="G36" s="9">
        <v>4</v>
      </c>
      <c r="H36" s="9"/>
      <c r="I36" s="6" t="s">
        <v>26</v>
      </c>
    </row>
    <row r="37" spans="1:9" x14ac:dyDescent="0.35">
      <c r="A37" s="9" t="s">
        <v>45</v>
      </c>
      <c r="B37" s="9"/>
      <c r="C37" s="9"/>
      <c r="D37" s="9"/>
      <c r="E37" s="9"/>
      <c r="F37" s="9"/>
      <c r="G37" s="9"/>
      <c r="H37" s="9"/>
      <c r="I37" s="1">
        <f>SUM(B34:H34)</f>
        <v>32</v>
      </c>
    </row>
    <row r="38" spans="1:9" x14ac:dyDescent="0.35">
      <c r="A38" s="15" t="s">
        <v>46</v>
      </c>
      <c r="B38" s="15"/>
      <c r="C38" s="15"/>
      <c r="D38" s="15"/>
      <c r="E38" s="15"/>
      <c r="F38" s="15"/>
      <c r="G38" s="15"/>
      <c r="H38" s="15"/>
      <c r="I38" s="15"/>
    </row>
    <row r="39" spans="1:9" x14ac:dyDescent="0.35">
      <c r="A39" s="14" t="s">
        <v>47</v>
      </c>
      <c r="B39" s="14"/>
      <c r="C39" s="14"/>
      <c r="D39" s="14"/>
      <c r="E39" s="14"/>
      <c r="F39" s="14"/>
      <c r="G39" s="14"/>
      <c r="H39" s="14"/>
      <c r="I39" s="14"/>
    </row>
    <row r="40" spans="1:9" x14ac:dyDescent="0.35">
      <c r="A40" s="2" t="s">
        <v>48</v>
      </c>
      <c r="B40" s="11" t="s">
        <v>49</v>
      </c>
      <c r="C40" s="11"/>
      <c r="D40" s="11"/>
      <c r="E40" s="11"/>
      <c r="F40" s="11" t="s">
        <v>12</v>
      </c>
      <c r="G40" s="11"/>
      <c r="H40" s="11"/>
    </row>
    <row r="41" spans="1:9" x14ac:dyDescent="0.35">
      <c r="A41" s="2" t="s">
        <v>50</v>
      </c>
      <c r="B41" s="1" t="s">
        <v>5</v>
      </c>
      <c r="C41" s="1" t="s">
        <v>6</v>
      </c>
      <c r="D41" s="1" t="s">
        <v>7</v>
      </c>
      <c r="E41" s="1" t="s">
        <v>8</v>
      </c>
      <c r="F41" s="9">
        <v>2</v>
      </c>
      <c r="G41" s="9"/>
      <c r="H41" s="9"/>
    </row>
    <row r="42" spans="1:9" x14ac:dyDescent="0.35">
      <c r="A42" s="2" t="s">
        <v>51</v>
      </c>
      <c r="B42" s="1" t="s">
        <v>5</v>
      </c>
      <c r="C42" s="1" t="s">
        <v>6</v>
      </c>
      <c r="D42" s="1" t="s">
        <v>7</v>
      </c>
      <c r="E42" s="1" t="s">
        <v>8</v>
      </c>
      <c r="F42" s="9">
        <v>4</v>
      </c>
      <c r="G42" s="9"/>
      <c r="H42" s="9"/>
    </row>
    <row r="43" spans="1:9" x14ac:dyDescent="0.35">
      <c r="A43" s="2" t="s">
        <v>52</v>
      </c>
      <c r="B43" s="9" t="s">
        <v>53</v>
      </c>
      <c r="C43" s="9"/>
      <c r="D43" s="9" t="s">
        <v>6</v>
      </c>
      <c r="E43" s="9"/>
      <c r="F43" s="9">
        <v>6</v>
      </c>
      <c r="G43" s="9"/>
      <c r="H43" s="9"/>
    </row>
    <row r="44" spans="1:9" ht="43.5" x14ac:dyDescent="0.35">
      <c r="A44" s="2" t="s">
        <v>54</v>
      </c>
      <c r="B44" s="9" t="s">
        <v>5</v>
      </c>
      <c r="C44" s="9"/>
      <c r="D44" s="9"/>
      <c r="E44" s="9"/>
      <c r="F44" s="9">
        <v>15</v>
      </c>
      <c r="G44" s="9"/>
      <c r="H44" s="9"/>
      <c r="I44" s="6" t="s">
        <v>26</v>
      </c>
    </row>
    <row r="45" spans="1:9" x14ac:dyDescent="0.35">
      <c r="A45" s="9" t="s">
        <v>55</v>
      </c>
      <c r="B45" s="9"/>
      <c r="C45" s="9"/>
      <c r="D45" s="9"/>
      <c r="E45" s="9"/>
      <c r="F45" s="9"/>
      <c r="G45" s="9"/>
      <c r="H45" s="9"/>
      <c r="I45" s="1">
        <f>SUM(F41:H44)+15</f>
        <v>42</v>
      </c>
    </row>
    <row r="46" spans="1:9" x14ac:dyDescent="0.35">
      <c r="A46" s="14" t="s">
        <v>56</v>
      </c>
      <c r="B46" s="14"/>
      <c r="C46" s="14"/>
      <c r="D46" s="14"/>
      <c r="E46" s="14"/>
      <c r="F46" s="14"/>
      <c r="G46" s="14"/>
      <c r="H46" s="14"/>
      <c r="I46" s="14"/>
    </row>
    <row r="47" spans="1:9" ht="26.15" customHeight="1" x14ac:dyDescent="0.35">
      <c r="A47" s="13" t="s">
        <v>57</v>
      </c>
      <c r="B47" s="13"/>
      <c r="C47" s="13"/>
      <c r="D47" s="13"/>
      <c r="E47" s="13"/>
      <c r="F47" s="13"/>
      <c r="G47" s="13"/>
      <c r="H47" s="13"/>
    </row>
    <row r="48" spans="1:9" ht="32.15" customHeight="1" x14ac:dyDescent="0.35">
      <c r="A48" s="13"/>
      <c r="B48" s="13"/>
      <c r="C48" s="13"/>
      <c r="D48" s="13"/>
      <c r="E48" s="13"/>
      <c r="F48" s="13"/>
      <c r="G48" s="13"/>
      <c r="H48" s="13"/>
    </row>
    <row r="49" spans="1:8" x14ac:dyDescent="0.35">
      <c r="A49" s="2" t="s">
        <v>58</v>
      </c>
      <c r="B49" s="11" t="s">
        <v>59</v>
      </c>
      <c r="C49" s="11"/>
      <c r="D49" s="11"/>
      <c r="E49" s="11"/>
      <c r="F49" s="11" t="s">
        <v>60</v>
      </c>
      <c r="G49" s="11"/>
      <c r="H49" s="13" t="s">
        <v>61</v>
      </c>
    </row>
    <row r="50" spans="1:8" x14ac:dyDescent="0.35">
      <c r="A50" s="11" t="s">
        <v>62</v>
      </c>
      <c r="B50" s="9" t="s">
        <v>63</v>
      </c>
      <c r="C50" s="9"/>
      <c r="D50" s="9"/>
      <c r="E50" s="9"/>
      <c r="F50" s="9">
        <v>-3</v>
      </c>
      <c r="G50" s="9"/>
      <c r="H50" s="13"/>
    </row>
    <row r="51" spans="1:8" x14ac:dyDescent="0.35">
      <c r="A51" s="11"/>
      <c r="B51" s="9" t="s">
        <v>64</v>
      </c>
      <c r="C51" s="9"/>
      <c r="D51" s="9"/>
      <c r="E51" s="9"/>
      <c r="F51" s="9">
        <v>3</v>
      </c>
      <c r="G51" s="9"/>
      <c r="H51" s="13"/>
    </row>
    <row r="52" spans="1:8" x14ac:dyDescent="0.35">
      <c r="A52" s="11"/>
      <c r="B52" s="9" t="s">
        <v>51</v>
      </c>
      <c r="C52" s="9"/>
      <c r="D52" s="9"/>
      <c r="E52" s="9"/>
      <c r="F52" s="9">
        <v>6</v>
      </c>
      <c r="G52" s="9"/>
      <c r="H52" s="13"/>
    </row>
    <row r="53" spans="1:8" x14ac:dyDescent="0.35">
      <c r="A53" s="11"/>
      <c r="B53" s="9" t="s">
        <v>52</v>
      </c>
      <c r="C53" s="9"/>
      <c r="D53" s="9"/>
      <c r="E53" s="9"/>
      <c r="F53" s="9">
        <v>9</v>
      </c>
      <c r="G53" s="9"/>
      <c r="H53" s="13"/>
    </row>
    <row r="54" spans="1:8" x14ac:dyDescent="0.35">
      <c r="A54" s="11"/>
      <c r="B54" s="9" t="s">
        <v>65</v>
      </c>
      <c r="C54" s="9"/>
      <c r="D54" s="9"/>
      <c r="E54" s="9"/>
      <c r="F54" s="9">
        <v>12</v>
      </c>
      <c r="G54" s="9"/>
      <c r="H54" s="13"/>
    </row>
    <row r="55" spans="1:8" x14ac:dyDescent="0.35">
      <c r="A55" s="11"/>
      <c r="B55" s="9" t="s">
        <v>66</v>
      </c>
      <c r="C55" s="9"/>
      <c r="D55" s="9"/>
      <c r="E55" s="9"/>
      <c r="F55" s="9">
        <v>20</v>
      </c>
      <c r="G55" s="9"/>
      <c r="H55" s="13"/>
    </row>
    <row r="56" spans="1:8" x14ac:dyDescent="0.35">
      <c r="A56" s="11" t="s">
        <v>67</v>
      </c>
      <c r="B56" s="9" t="s">
        <v>63</v>
      </c>
      <c r="C56" s="9"/>
      <c r="D56" s="9"/>
      <c r="E56" s="9"/>
      <c r="F56" s="9">
        <v>-2</v>
      </c>
      <c r="G56" s="9"/>
      <c r="H56" s="13"/>
    </row>
    <row r="57" spans="1:8" x14ac:dyDescent="0.35">
      <c r="A57" s="11"/>
      <c r="B57" s="9" t="s">
        <v>64</v>
      </c>
      <c r="C57" s="9"/>
      <c r="D57" s="9"/>
      <c r="E57" s="9"/>
      <c r="F57" s="9">
        <v>2</v>
      </c>
      <c r="G57" s="9"/>
      <c r="H57" s="13"/>
    </row>
    <row r="58" spans="1:8" x14ac:dyDescent="0.35">
      <c r="A58" s="11"/>
      <c r="B58" s="9" t="s">
        <v>51</v>
      </c>
      <c r="C58" s="9"/>
      <c r="D58" s="9"/>
      <c r="E58" s="9"/>
      <c r="F58" s="9">
        <v>4</v>
      </c>
      <c r="G58" s="9"/>
      <c r="H58" s="13"/>
    </row>
    <row r="59" spans="1:8" x14ac:dyDescent="0.35">
      <c r="A59" s="11"/>
      <c r="B59" s="9" t="s">
        <v>52</v>
      </c>
      <c r="C59" s="9"/>
      <c r="D59" s="9"/>
      <c r="E59" s="9"/>
      <c r="F59" s="9">
        <v>6</v>
      </c>
      <c r="G59" s="9"/>
      <c r="H59" s="13"/>
    </row>
    <row r="60" spans="1:8" x14ac:dyDescent="0.35">
      <c r="A60" s="11"/>
      <c r="B60" s="9" t="s">
        <v>65</v>
      </c>
      <c r="C60" s="9"/>
      <c r="D60" s="9"/>
      <c r="E60" s="9"/>
      <c r="F60" s="9">
        <v>8</v>
      </c>
      <c r="G60" s="9"/>
      <c r="H60" s="13"/>
    </row>
    <row r="61" spans="1:8" x14ac:dyDescent="0.35">
      <c r="A61" s="11"/>
      <c r="B61" s="9" t="s">
        <v>66</v>
      </c>
      <c r="C61" s="9"/>
      <c r="D61" s="9"/>
      <c r="E61" s="9"/>
      <c r="F61" s="9">
        <v>15</v>
      </c>
      <c r="G61" s="9"/>
      <c r="H61" s="13"/>
    </row>
    <row r="62" spans="1:8" x14ac:dyDescent="0.35">
      <c r="A62" s="11" t="s">
        <v>68</v>
      </c>
      <c r="B62" s="9" t="s">
        <v>63</v>
      </c>
      <c r="C62" s="9"/>
      <c r="D62" s="9"/>
      <c r="E62" s="9"/>
      <c r="F62" s="9">
        <v>-1</v>
      </c>
      <c r="G62" s="9"/>
      <c r="H62" s="13"/>
    </row>
    <row r="63" spans="1:8" x14ac:dyDescent="0.35">
      <c r="A63" s="11"/>
      <c r="B63" s="9" t="s">
        <v>64</v>
      </c>
      <c r="C63" s="9"/>
      <c r="D63" s="9"/>
      <c r="E63" s="9"/>
      <c r="F63" s="9">
        <v>1</v>
      </c>
      <c r="G63" s="9"/>
      <c r="H63" s="13"/>
    </row>
    <row r="64" spans="1:8" x14ac:dyDescent="0.35">
      <c r="A64" s="11"/>
      <c r="B64" s="9" t="s">
        <v>51</v>
      </c>
      <c r="C64" s="9"/>
      <c r="D64" s="9"/>
      <c r="E64" s="9"/>
      <c r="F64" s="9">
        <v>2</v>
      </c>
      <c r="G64" s="9"/>
      <c r="H64" s="13"/>
    </row>
    <row r="65" spans="1:9" x14ac:dyDescent="0.35">
      <c r="A65" s="11"/>
      <c r="B65" s="9" t="s">
        <v>52</v>
      </c>
      <c r="C65" s="9"/>
      <c r="D65" s="9"/>
      <c r="E65" s="9"/>
      <c r="F65" s="9">
        <v>4</v>
      </c>
      <c r="G65" s="9"/>
      <c r="H65" s="13"/>
    </row>
    <row r="66" spans="1:9" ht="43.5" x14ac:dyDescent="0.35">
      <c r="A66" s="11"/>
      <c r="B66" s="9" t="s">
        <v>65</v>
      </c>
      <c r="C66" s="9"/>
      <c r="D66" s="9"/>
      <c r="E66" s="9"/>
      <c r="F66" s="9">
        <v>6</v>
      </c>
      <c r="G66" s="9"/>
      <c r="H66" s="13"/>
      <c r="I66" s="6" t="s">
        <v>26</v>
      </c>
    </row>
    <row r="67" spans="1:9" x14ac:dyDescent="0.35">
      <c r="A67" s="11"/>
      <c r="B67" s="9" t="s">
        <v>66</v>
      </c>
      <c r="C67" s="9"/>
      <c r="D67" s="9"/>
      <c r="E67" s="9"/>
      <c r="F67" s="9">
        <v>10</v>
      </c>
      <c r="G67" s="9"/>
      <c r="H67" s="13"/>
      <c r="I67" s="1">
        <f>SUM(F55,F60,F65)</f>
        <v>32</v>
      </c>
    </row>
    <row r="68" spans="1:9" x14ac:dyDescent="0.35">
      <c r="A68" s="10" t="s">
        <v>69</v>
      </c>
      <c r="B68" s="10"/>
      <c r="C68" s="10"/>
      <c r="D68" s="10"/>
      <c r="E68" s="10"/>
      <c r="F68" s="10"/>
      <c r="G68" s="10"/>
      <c r="H68" s="10"/>
      <c r="I68" s="10"/>
    </row>
    <row r="69" spans="1:9" x14ac:dyDescent="0.35">
      <c r="A69" s="12" t="s">
        <v>47</v>
      </c>
      <c r="B69" s="12"/>
      <c r="C69" s="12"/>
      <c r="D69" s="12"/>
      <c r="E69" s="12"/>
      <c r="F69" s="12"/>
      <c r="G69" s="12"/>
      <c r="H69" s="12"/>
      <c r="I69" s="12"/>
    </row>
    <row r="70" spans="1:9" x14ac:dyDescent="0.35">
      <c r="A70" s="2" t="s">
        <v>70</v>
      </c>
      <c r="B70" s="11" t="s">
        <v>71</v>
      </c>
      <c r="C70" s="11"/>
      <c r="D70" s="11"/>
      <c r="E70" s="11"/>
      <c r="F70" s="11"/>
      <c r="G70" s="11"/>
      <c r="H70" s="2" t="s">
        <v>72</v>
      </c>
    </row>
    <row r="71" spans="1:9" x14ac:dyDescent="0.35">
      <c r="A71" s="2" t="s">
        <v>73</v>
      </c>
      <c r="B71" s="1" t="s">
        <v>5</v>
      </c>
      <c r="C71" s="1" t="s">
        <v>6</v>
      </c>
      <c r="D71" s="1" t="s">
        <v>7</v>
      </c>
      <c r="E71" s="1" t="s">
        <v>8</v>
      </c>
      <c r="F71" s="1" t="s">
        <v>9</v>
      </c>
      <c r="G71" s="1" t="s">
        <v>74</v>
      </c>
      <c r="H71" s="1">
        <v>2</v>
      </c>
    </row>
    <row r="72" spans="1:9" x14ac:dyDescent="0.35">
      <c r="A72" s="2" t="s">
        <v>75</v>
      </c>
      <c r="B72" s="1" t="s">
        <v>5</v>
      </c>
      <c r="C72" s="1" t="s">
        <v>6</v>
      </c>
      <c r="D72" s="1" t="s">
        <v>7</v>
      </c>
      <c r="E72" s="1" t="s">
        <v>8</v>
      </c>
      <c r="F72" s="5"/>
      <c r="G72" s="5"/>
      <c r="H72" s="1">
        <v>4</v>
      </c>
    </row>
    <row r="73" spans="1:9" x14ac:dyDescent="0.35">
      <c r="A73" s="2" t="s">
        <v>37</v>
      </c>
      <c r="B73" s="9" t="s">
        <v>76</v>
      </c>
      <c r="C73" s="9"/>
      <c r="D73" s="9" t="s">
        <v>77</v>
      </c>
      <c r="E73" s="9"/>
      <c r="F73" s="5"/>
      <c r="G73" s="5"/>
      <c r="H73" s="1">
        <v>6</v>
      </c>
    </row>
    <row r="74" spans="1:9" ht="43.5" x14ac:dyDescent="0.35">
      <c r="A74" s="2" t="s">
        <v>78</v>
      </c>
      <c r="B74" s="9" t="s">
        <v>79</v>
      </c>
      <c r="C74" s="9"/>
      <c r="D74" s="9"/>
      <c r="E74" s="9"/>
      <c r="F74" s="5"/>
      <c r="G74" s="5"/>
      <c r="H74" s="1">
        <v>12</v>
      </c>
      <c r="I74" s="6" t="s">
        <v>26</v>
      </c>
    </row>
    <row r="75" spans="1:9" x14ac:dyDescent="0.35">
      <c r="A75" s="9" t="s">
        <v>80</v>
      </c>
      <c r="B75" s="9"/>
      <c r="C75" s="9"/>
      <c r="D75" s="9"/>
      <c r="E75" s="9"/>
      <c r="F75" s="9"/>
      <c r="G75" s="9"/>
      <c r="H75" s="9"/>
      <c r="I75" s="1">
        <f>SUM((H71*6),H72*4,H73*2,H74)+10</f>
        <v>62</v>
      </c>
    </row>
    <row r="76" spans="1:9" x14ac:dyDescent="0.35">
      <c r="A76" s="12" t="s">
        <v>56</v>
      </c>
      <c r="B76" s="12"/>
      <c r="C76" s="12"/>
      <c r="D76" s="12"/>
      <c r="E76" s="12"/>
      <c r="F76" s="12"/>
      <c r="G76" s="12"/>
      <c r="H76" s="12"/>
      <c r="I76" s="12"/>
    </row>
    <row r="77" spans="1:9" ht="30.65" customHeight="1" x14ac:dyDescent="0.35">
      <c r="A77" s="13" t="s">
        <v>81</v>
      </c>
      <c r="B77" s="13"/>
      <c r="C77" s="13"/>
      <c r="D77" s="13"/>
      <c r="E77" s="13"/>
      <c r="F77" s="13"/>
      <c r="G77" s="13"/>
      <c r="H77" s="13"/>
    </row>
    <row r="78" spans="1:9" ht="30" customHeight="1" x14ac:dyDescent="0.35">
      <c r="A78" s="13"/>
      <c r="B78" s="13"/>
      <c r="C78" s="13"/>
      <c r="D78" s="13"/>
      <c r="E78" s="13"/>
      <c r="F78" s="13"/>
      <c r="G78" s="13"/>
      <c r="H78" s="13"/>
    </row>
    <row r="79" spans="1:9" x14ac:dyDescent="0.35">
      <c r="A79" s="2" t="s">
        <v>58</v>
      </c>
      <c r="B79" s="11" t="s">
        <v>70</v>
      </c>
      <c r="C79" s="11"/>
      <c r="D79" s="11"/>
      <c r="E79" s="11" t="s">
        <v>3</v>
      </c>
      <c r="F79" s="11"/>
      <c r="G79" s="13" t="s">
        <v>82</v>
      </c>
      <c r="H79" s="13"/>
    </row>
    <row r="80" spans="1:9" ht="16.5" customHeight="1" x14ac:dyDescent="0.35">
      <c r="A80" s="11" t="s">
        <v>83</v>
      </c>
      <c r="B80" s="13" t="s">
        <v>63</v>
      </c>
      <c r="C80" s="13"/>
      <c r="D80" s="13"/>
      <c r="E80" s="9">
        <v>-5</v>
      </c>
      <c r="F80" s="9"/>
      <c r="G80" s="13"/>
      <c r="H80" s="13"/>
    </row>
    <row r="81" spans="1:8" x14ac:dyDescent="0.35">
      <c r="A81" s="11"/>
      <c r="B81" s="9" t="s">
        <v>84</v>
      </c>
      <c r="C81" s="9"/>
      <c r="D81" s="9"/>
      <c r="E81" s="9">
        <v>4</v>
      </c>
      <c r="F81" s="9"/>
      <c r="G81" s="13"/>
      <c r="H81" s="13"/>
    </row>
    <row r="82" spans="1:8" x14ac:dyDescent="0.35">
      <c r="A82" s="11"/>
      <c r="B82" s="9" t="s">
        <v>85</v>
      </c>
      <c r="C82" s="9"/>
      <c r="D82" s="9"/>
      <c r="E82" s="9">
        <v>8</v>
      </c>
      <c r="F82" s="9"/>
      <c r="G82" s="13"/>
      <c r="H82" s="13"/>
    </row>
    <row r="83" spans="1:8" x14ac:dyDescent="0.35">
      <c r="A83" s="11"/>
      <c r="B83" s="9" t="s">
        <v>86</v>
      </c>
      <c r="C83" s="9"/>
      <c r="D83" s="9"/>
      <c r="E83" s="9">
        <v>12</v>
      </c>
      <c r="F83" s="9"/>
      <c r="G83" s="13"/>
      <c r="H83" s="13"/>
    </row>
    <row r="84" spans="1:8" x14ac:dyDescent="0.35">
      <c r="A84" s="11"/>
      <c r="B84" s="9" t="s">
        <v>78</v>
      </c>
      <c r="C84" s="9"/>
      <c r="D84" s="9"/>
      <c r="E84" s="9">
        <v>15</v>
      </c>
      <c r="F84" s="9"/>
      <c r="G84" s="13"/>
      <c r="H84" s="13"/>
    </row>
    <row r="85" spans="1:8" x14ac:dyDescent="0.35">
      <c r="A85" s="11"/>
      <c r="B85" s="9" t="s">
        <v>66</v>
      </c>
      <c r="C85" s="9"/>
      <c r="D85" s="9"/>
      <c r="E85" s="9">
        <v>20</v>
      </c>
      <c r="F85" s="9"/>
      <c r="G85" s="13"/>
      <c r="H85" s="13"/>
    </row>
    <row r="86" spans="1:8" ht="14.5" customHeight="1" x14ac:dyDescent="0.35">
      <c r="A86" s="11" t="s">
        <v>67</v>
      </c>
      <c r="B86" s="13" t="s">
        <v>63</v>
      </c>
      <c r="C86" s="13"/>
      <c r="D86" s="13"/>
      <c r="E86" s="9">
        <v>-4</v>
      </c>
      <c r="F86" s="9"/>
      <c r="G86" s="13"/>
      <c r="H86" s="13"/>
    </row>
    <row r="87" spans="1:8" x14ac:dyDescent="0.35">
      <c r="A87" s="11"/>
      <c r="B87" s="9" t="s">
        <v>84</v>
      </c>
      <c r="C87" s="9"/>
      <c r="D87" s="9"/>
      <c r="E87" s="9">
        <v>3</v>
      </c>
      <c r="F87" s="9"/>
      <c r="G87" s="13"/>
      <c r="H87" s="13"/>
    </row>
    <row r="88" spans="1:8" x14ac:dyDescent="0.35">
      <c r="A88" s="11"/>
      <c r="B88" s="9" t="s">
        <v>85</v>
      </c>
      <c r="C88" s="9"/>
      <c r="D88" s="9"/>
      <c r="E88" s="9">
        <v>6</v>
      </c>
      <c r="F88" s="9"/>
      <c r="G88" s="13"/>
      <c r="H88" s="13"/>
    </row>
    <row r="89" spans="1:8" x14ac:dyDescent="0.35">
      <c r="A89" s="11"/>
      <c r="B89" s="9" t="s">
        <v>86</v>
      </c>
      <c r="C89" s="9"/>
      <c r="D89" s="9"/>
      <c r="E89" s="9">
        <v>9</v>
      </c>
      <c r="F89" s="9"/>
      <c r="G89" s="13"/>
      <c r="H89" s="13"/>
    </row>
    <row r="90" spans="1:8" x14ac:dyDescent="0.35">
      <c r="A90" s="11"/>
      <c r="B90" s="9" t="s">
        <v>78</v>
      </c>
      <c r="C90" s="9"/>
      <c r="D90" s="9"/>
      <c r="E90" s="9">
        <v>12</v>
      </c>
      <c r="F90" s="9"/>
      <c r="G90" s="13"/>
      <c r="H90" s="13"/>
    </row>
    <row r="91" spans="1:8" x14ac:dyDescent="0.35">
      <c r="A91" s="11"/>
      <c r="B91" s="9" t="s">
        <v>66</v>
      </c>
      <c r="C91" s="9"/>
      <c r="D91" s="9"/>
      <c r="E91" s="9">
        <v>18</v>
      </c>
      <c r="F91" s="9"/>
      <c r="G91" s="13"/>
      <c r="H91" s="13"/>
    </row>
    <row r="92" spans="1:8" ht="14.5" customHeight="1" x14ac:dyDescent="0.35">
      <c r="A92" s="11" t="s">
        <v>68</v>
      </c>
      <c r="B92" s="13" t="s">
        <v>63</v>
      </c>
      <c r="C92" s="13"/>
      <c r="D92" s="13"/>
      <c r="E92" s="9">
        <v>-3</v>
      </c>
      <c r="F92" s="9"/>
      <c r="G92" s="13"/>
      <c r="H92" s="13"/>
    </row>
    <row r="93" spans="1:8" x14ac:dyDescent="0.35">
      <c r="A93" s="11"/>
      <c r="B93" s="9" t="s">
        <v>84</v>
      </c>
      <c r="C93" s="9"/>
      <c r="D93" s="9"/>
      <c r="E93" s="9">
        <v>2</v>
      </c>
      <c r="F93" s="9"/>
      <c r="G93" s="13"/>
      <c r="H93" s="13"/>
    </row>
    <row r="94" spans="1:8" x14ac:dyDescent="0.35">
      <c r="A94" s="11"/>
      <c r="B94" s="9" t="s">
        <v>85</v>
      </c>
      <c r="C94" s="9"/>
      <c r="D94" s="9"/>
      <c r="E94" s="9">
        <v>4</v>
      </c>
      <c r="F94" s="9"/>
      <c r="G94" s="13"/>
      <c r="H94" s="13"/>
    </row>
    <row r="95" spans="1:8" x14ac:dyDescent="0.35">
      <c r="A95" s="11"/>
      <c r="B95" s="9" t="s">
        <v>86</v>
      </c>
      <c r="C95" s="9"/>
      <c r="D95" s="9"/>
      <c r="E95" s="9">
        <v>6</v>
      </c>
      <c r="F95" s="9"/>
      <c r="G95" s="13"/>
      <c r="H95" s="13"/>
    </row>
    <row r="96" spans="1:8" x14ac:dyDescent="0.35">
      <c r="A96" s="11"/>
      <c r="B96" s="9" t="s">
        <v>78</v>
      </c>
      <c r="C96" s="9"/>
      <c r="D96" s="9"/>
      <c r="E96" s="9">
        <v>8</v>
      </c>
      <c r="F96" s="9"/>
      <c r="G96" s="13"/>
      <c r="H96" s="13"/>
    </row>
    <row r="97" spans="1:9" ht="14.5" customHeight="1" x14ac:dyDescent="0.35">
      <c r="A97" s="11"/>
      <c r="B97" s="9" t="s">
        <v>66</v>
      </c>
      <c r="C97" s="9"/>
      <c r="D97" s="9"/>
      <c r="E97" s="9">
        <v>12</v>
      </c>
      <c r="F97" s="9"/>
      <c r="G97" s="13"/>
      <c r="H97" s="13"/>
    </row>
    <row r="98" spans="1:9" x14ac:dyDescent="0.35">
      <c r="A98" s="11" t="s">
        <v>87</v>
      </c>
      <c r="B98" s="13" t="s">
        <v>63</v>
      </c>
      <c r="C98" s="13"/>
      <c r="D98" s="13"/>
      <c r="E98" s="9">
        <v>-2</v>
      </c>
      <c r="F98" s="9"/>
      <c r="G98" s="13"/>
      <c r="H98" s="13"/>
    </row>
    <row r="99" spans="1:9" x14ac:dyDescent="0.35">
      <c r="A99" s="11"/>
      <c r="B99" s="9" t="s">
        <v>84</v>
      </c>
      <c r="C99" s="9"/>
      <c r="D99" s="9"/>
      <c r="E99" s="9">
        <v>1</v>
      </c>
      <c r="F99" s="9"/>
      <c r="G99" s="13"/>
      <c r="H99" s="13"/>
    </row>
    <row r="100" spans="1:9" x14ac:dyDescent="0.35">
      <c r="A100" s="11"/>
      <c r="B100" s="9" t="s">
        <v>85</v>
      </c>
      <c r="C100" s="9"/>
      <c r="D100" s="9"/>
      <c r="E100" s="9">
        <v>3</v>
      </c>
      <c r="F100" s="9"/>
      <c r="G100" s="13"/>
      <c r="H100" s="13"/>
    </row>
    <row r="101" spans="1:9" x14ac:dyDescent="0.35">
      <c r="A101" s="11"/>
      <c r="B101" s="9" t="s">
        <v>86</v>
      </c>
      <c r="C101" s="9"/>
      <c r="D101" s="9"/>
      <c r="E101" s="9">
        <v>5</v>
      </c>
      <c r="F101" s="9"/>
      <c r="G101" s="13"/>
      <c r="H101" s="13"/>
    </row>
    <row r="102" spans="1:9" ht="43.5" x14ac:dyDescent="0.35">
      <c r="A102" s="11"/>
      <c r="B102" s="9" t="s">
        <v>78</v>
      </c>
      <c r="C102" s="9"/>
      <c r="D102" s="9"/>
      <c r="E102" s="9">
        <v>7</v>
      </c>
      <c r="F102" s="9"/>
      <c r="G102" s="13"/>
      <c r="H102" s="13"/>
      <c r="I102" s="6" t="s">
        <v>26</v>
      </c>
    </row>
    <row r="103" spans="1:9" x14ac:dyDescent="0.35">
      <c r="A103" s="11"/>
      <c r="B103" s="9" t="s">
        <v>66</v>
      </c>
      <c r="C103" s="9"/>
      <c r="D103" s="9"/>
      <c r="E103" s="9">
        <v>10</v>
      </c>
      <c r="F103" s="9"/>
      <c r="G103" s="13"/>
      <c r="H103" s="13"/>
      <c r="I103" s="1">
        <f>SUM(E85,E90,E95,E101)</f>
        <v>43</v>
      </c>
    </row>
    <row r="104" spans="1:9" x14ac:dyDescent="0.35">
      <c r="A104" s="10" t="s">
        <v>88</v>
      </c>
      <c r="B104" s="10"/>
      <c r="C104" s="10"/>
      <c r="D104" s="10"/>
      <c r="E104" s="10"/>
      <c r="F104" s="10"/>
      <c r="G104" s="10"/>
      <c r="H104" s="10"/>
      <c r="I104" s="10"/>
    </row>
    <row r="105" spans="1:9" x14ac:dyDescent="0.35">
      <c r="A105" s="9" t="s">
        <v>89</v>
      </c>
      <c r="B105" s="9"/>
      <c r="C105" s="9"/>
      <c r="D105" s="9"/>
      <c r="E105" s="9"/>
      <c r="F105" s="9"/>
      <c r="G105" s="9"/>
      <c r="H105" s="9"/>
      <c r="I105" s="9"/>
    </row>
    <row r="106" spans="1:9" x14ac:dyDescent="0.35">
      <c r="A106" s="9"/>
      <c r="B106" s="9"/>
      <c r="C106" s="9"/>
      <c r="D106" s="9"/>
      <c r="E106" s="9"/>
      <c r="F106" s="9"/>
      <c r="G106" s="9"/>
      <c r="H106" s="9"/>
      <c r="I106" s="9"/>
    </row>
    <row r="107" spans="1:9" ht="43.5" x14ac:dyDescent="0.35">
      <c r="I107" s="6" t="s">
        <v>26</v>
      </c>
    </row>
    <row r="108" spans="1:9" x14ac:dyDescent="0.35">
      <c r="I108" s="1">
        <v>32</v>
      </c>
    </row>
    <row r="136" ht="43.5" x14ac:dyDescent="0.35"/>
  </sheetData>
  <mergeCells count="149">
    <mergeCell ref="A18:K18"/>
    <mergeCell ref="J21:K22"/>
    <mergeCell ref="A23:I23"/>
    <mergeCell ref="A24:I24"/>
    <mergeCell ref="A25:I25"/>
    <mergeCell ref="A28:H30"/>
    <mergeCell ref="A1:K1"/>
    <mergeCell ref="A2:A3"/>
    <mergeCell ref="B2:B3"/>
    <mergeCell ref="C2:H2"/>
    <mergeCell ref="I2:K2"/>
    <mergeCell ref="I11:K17"/>
    <mergeCell ref="C35:D35"/>
    <mergeCell ref="E35:F35"/>
    <mergeCell ref="G35:H35"/>
    <mergeCell ref="C36:D36"/>
    <mergeCell ref="E36:F36"/>
    <mergeCell ref="G36:H36"/>
    <mergeCell ref="A31:I31"/>
    <mergeCell ref="A32:H32"/>
    <mergeCell ref="C33:D33"/>
    <mergeCell ref="E33:F33"/>
    <mergeCell ref="G33:H33"/>
    <mergeCell ref="C34:D34"/>
    <mergeCell ref="E34:F34"/>
    <mergeCell ref="G34:H34"/>
    <mergeCell ref="F42:H42"/>
    <mergeCell ref="B43:C43"/>
    <mergeCell ref="D43:E43"/>
    <mergeCell ref="F43:H43"/>
    <mergeCell ref="B44:E44"/>
    <mergeCell ref="F44:H44"/>
    <mergeCell ref="A37:H37"/>
    <mergeCell ref="A38:I38"/>
    <mergeCell ref="A39:I39"/>
    <mergeCell ref="B40:E40"/>
    <mergeCell ref="F40:H40"/>
    <mergeCell ref="F41:H41"/>
    <mergeCell ref="F51:G51"/>
    <mergeCell ref="B52:E52"/>
    <mergeCell ref="F52:G52"/>
    <mergeCell ref="B53:E53"/>
    <mergeCell ref="F53:G53"/>
    <mergeCell ref="B54:E54"/>
    <mergeCell ref="F54:G54"/>
    <mergeCell ref="A45:H45"/>
    <mergeCell ref="A46:I46"/>
    <mergeCell ref="A47:H48"/>
    <mergeCell ref="B49:E49"/>
    <mergeCell ref="F49:G49"/>
    <mergeCell ref="H49:H67"/>
    <mergeCell ref="A50:A55"/>
    <mergeCell ref="B50:E50"/>
    <mergeCell ref="F50:G50"/>
    <mergeCell ref="B51:E51"/>
    <mergeCell ref="B55:E55"/>
    <mergeCell ref="F55:G55"/>
    <mergeCell ref="A56:A61"/>
    <mergeCell ref="B56:E56"/>
    <mergeCell ref="F56:G56"/>
    <mergeCell ref="B57:E57"/>
    <mergeCell ref="F57:G57"/>
    <mergeCell ref="B58:E58"/>
    <mergeCell ref="F58:G58"/>
    <mergeCell ref="B59:E59"/>
    <mergeCell ref="F59:G59"/>
    <mergeCell ref="B60:E60"/>
    <mergeCell ref="F60:G60"/>
    <mergeCell ref="B61:E61"/>
    <mergeCell ref="F61:G61"/>
    <mergeCell ref="A62:A67"/>
    <mergeCell ref="B62:E62"/>
    <mergeCell ref="F62:G62"/>
    <mergeCell ref="B63:E63"/>
    <mergeCell ref="F63:G63"/>
    <mergeCell ref="B67:E67"/>
    <mergeCell ref="F67:G67"/>
    <mergeCell ref="A68:I68"/>
    <mergeCell ref="A69:I69"/>
    <mergeCell ref="B70:G70"/>
    <mergeCell ref="B73:C73"/>
    <mergeCell ref="D73:E73"/>
    <mergeCell ref="B64:E64"/>
    <mergeCell ref="F64:G64"/>
    <mergeCell ref="B65:E65"/>
    <mergeCell ref="F65:G65"/>
    <mergeCell ref="B66:E66"/>
    <mergeCell ref="F66:G66"/>
    <mergeCell ref="B74:E74"/>
    <mergeCell ref="A75:H75"/>
    <mergeCell ref="A76:I76"/>
    <mergeCell ref="A77:H78"/>
    <mergeCell ref="B79:D79"/>
    <mergeCell ref="E79:F79"/>
    <mergeCell ref="G79:H103"/>
    <mergeCell ref="A80:A85"/>
    <mergeCell ref="B80:D80"/>
    <mergeCell ref="E80:F80"/>
    <mergeCell ref="A86:A91"/>
    <mergeCell ref="B86:D86"/>
    <mergeCell ref="E86:F86"/>
    <mergeCell ref="B87:D87"/>
    <mergeCell ref="E87:F87"/>
    <mergeCell ref="B88:D88"/>
    <mergeCell ref="B81:D81"/>
    <mergeCell ref="E81:F81"/>
    <mergeCell ref="B82:D82"/>
    <mergeCell ref="E82:F82"/>
    <mergeCell ref="B83:D83"/>
    <mergeCell ref="E83:F83"/>
    <mergeCell ref="E88:F88"/>
    <mergeCell ref="B89:D89"/>
    <mergeCell ref="E89:F89"/>
    <mergeCell ref="B90:D90"/>
    <mergeCell ref="E90:F90"/>
    <mergeCell ref="B91:D91"/>
    <mergeCell ref="E91:F91"/>
    <mergeCell ref="B84:D84"/>
    <mergeCell ref="E84:F84"/>
    <mergeCell ref="B85:D85"/>
    <mergeCell ref="E85:F85"/>
    <mergeCell ref="E96:F96"/>
    <mergeCell ref="B97:D97"/>
    <mergeCell ref="E97:F97"/>
    <mergeCell ref="A98:A103"/>
    <mergeCell ref="B98:D98"/>
    <mergeCell ref="E98:F98"/>
    <mergeCell ref="B99:D99"/>
    <mergeCell ref="E99:F99"/>
    <mergeCell ref="B100:D100"/>
    <mergeCell ref="E100:F100"/>
    <mergeCell ref="A92:A97"/>
    <mergeCell ref="B92:D92"/>
    <mergeCell ref="E92:F92"/>
    <mergeCell ref="B93:D93"/>
    <mergeCell ref="E93:F93"/>
    <mergeCell ref="B94:D94"/>
    <mergeCell ref="E94:F94"/>
    <mergeCell ref="B95:D95"/>
    <mergeCell ref="E95:F95"/>
    <mergeCell ref="B96:D96"/>
    <mergeCell ref="B101:D101"/>
    <mergeCell ref="E101:F101"/>
    <mergeCell ref="B102:D102"/>
    <mergeCell ref="E102:F102"/>
    <mergeCell ref="B103:D103"/>
    <mergeCell ref="E103:F103"/>
    <mergeCell ref="A104:I104"/>
    <mergeCell ref="A105:I106"/>
  </mergeCells>
  <pageMargins left="0.7" right="0.7" top="0.75" bottom="0.75" header="0.3" footer="0.3"/>
</worksheet>
</file>

<file path=docMetadata/LabelInfo.xml><?xml version="1.0" encoding="utf-8"?>
<clbl:labelList xmlns:clbl="http://schemas.microsoft.com/office/2020/mipLabelMetadata">
  <clbl:label id="{feff7bc7-36fc-428c-8646-00723cb074ab}" enabled="1" method="Privileged" siteId="{94c3e67c-9e2d-4800-a6b7-635d97882165}"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Master Plan - Football Season</vt:lpstr>
    </vt:vector>
  </TitlesOfParts>
  <Company>BD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Ethan Hawes</dc:creator>
  <cp:lastModifiedBy>Ethan Hawes</cp:lastModifiedBy>
  <dcterms:created xsi:type="dcterms:W3CDTF">2026-08-18T23:44:28Z</dcterms:created>
  <dcterms:modified xsi:type="dcterms:W3CDTF">2026-09-01T15:07:38Z</dcterms:modified>
</cp:coreProperties>
</file>